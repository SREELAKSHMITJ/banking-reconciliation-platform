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l\Desktop\banking-reconciliation-platform\reports\"/>
    </mc:Choice>
  </mc:AlternateContent>
  <xr:revisionPtr revIDLastSave="0" documentId="13_ncr:1_{D81E7DE0-B356-44E3-8972-5FB5823ECE6D}" xr6:coauthVersionLast="47" xr6:coauthVersionMax="47" xr10:uidLastSave="{00000000-0000-0000-0000-000000000000}"/>
  <bookViews>
    <workbookView xWindow="-108" yWindow="-108" windowWidth="30936" windowHeight="16776" tabRatio="852" xr2:uid="{BAD25D81-3BB7-47CA-95AF-05BB5E33DAE7}"/>
  </bookViews>
  <sheets>
    <sheet name="Dashboard" sheetId="9" r:id="rId1"/>
    <sheet name="DQ_Pivot" sheetId="10" r:id="rId2"/>
    <sheet name="DQ_Current" sheetId="2" r:id="rId3"/>
    <sheet name="DQ_Trend" sheetId="3" r:id="rId4"/>
    <sheet name="Exception_Aging" sheetId="4" r:id="rId5"/>
    <sheet name="Exception_Categories" sheetId="5" r:id="rId6"/>
    <sheet name="Dashboard_Data" sheetId="6" r:id="rId7"/>
    <sheet name="Lifecycle" sheetId="7" r:id="rId8"/>
    <sheet name="Exception_Rules" sheetId="8" r:id="rId9"/>
  </sheets>
  <definedNames>
    <definedName name="ExternalData_1" localSheetId="6" hidden="1">Dashboard_Data!$A$1:$G$2</definedName>
    <definedName name="ExternalData_1" localSheetId="2" hidden="1">DQ_Current!$A$1:$H$21</definedName>
    <definedName name="ExternalData_1" localSheetId="3" hidden="1">DQ_Trend!$A$1:$H$5</definedName>
    <definedName name="ExternalData_1" localSheetId="4" hidden="1">Exception_Aging!$A$1:$C$2</definedName>
    <definedName name="ExternalData_1" localSheetId="5" hidden="1">Exception_Categories!$A$1:$B$9</definedName>
    <definedName name="ExternalData_1" localSheetId="8" hidden="1">Exception_Rules!$A$1:$E$25</definedName>
    <definedName name="ExternalData_1" localSheetId="7" hidden="1">Lifecycle!$A$1:$C$4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9" l="1"/>
  <c r="E9" i="9"/>
  <c r="A9" i="9"/>
  <c r="I5" i="9"/>
  <c r="E5" i="9"/>
  <c r="A5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C81F8A-9142-4C21-9772-803BA0C0E1D4}" keepAlive="1" name="Query - dq_current_summary" description="Connection to the 'dq_current_summary' query in the workbook." type="5" refreshedVersion="8" background="1" saveData="1">
    <dbPr connection="Provider=Microsoft.Mashup.OleDb.1;Data Source=$Workbook$;Location=dq_current_summary;Extended Properties=&quot;&quot;" command="SELECT * FROM [dq_current_summary]"/>
  </connection>
  <connection id="2" xr16:uid="{895D3956-17D8-421B-8D4C-58F8A73200A4}" keepAlive="1" name="Query - dq_run_trend" description="Connection to the 'dq_run_trend' query in the workbook." type="5" refreshedVersion="8" background="1" saveData="1">
    <dbPr connection="Provider=Microsoft.Mashup.OleDb.1;Data Source=$Workbook$;Location=dq_run_trend;Extended Properties=&quot;&quot;" command="SELECT * FROM [dq_run_trend]"/>
  </connection>
  <connection id="3" xr16:uid="{1FC0C702-AF5C-4EFB-B98B-54D29CAB1608}" keepAlive="1" name="Query - exception_aging_summary" description="Connection to the 'exception_aging_summary' query in the workbook." type="5" refreshedVersion="8" background="1" saveData="1">
    <dbPr connection="Provider=Microsoft.Mashup.OleDb.1;Data Source=$Workbook$;Location=exception_aging_summary;Extended Properties=&quot;&quot;" command="SELECT * FROM [exception_aging_summary]"/>
  </connection>
  <connection id="4" xr16:uid="{65ED0BAD-1BD3-4FBE-ADAE-8762899A2521}" keepAlive="1" name="Query - exception_category_summary" description="Connection to the 'exception_category_summary' query in the workbook." type="5" refreshedVersion="8" background="1" saveData="1">
    <dbPr connection="Provider=Microsoft.Mashup.OleDb.1;Data Source=$Workbook$;Location=exception_category_summary;Extended Properties=&quot;&quot;" command="SELECT * FROM [exception_category_summary]"/>
  </connection>
  <connection id="5" xr16:uid="{A963D7DC-312B-4576-8B5B-B495F73C12C9}" keepAlive="1" name="Query - exception_kpi_summary" description="Connection to the 'exception_kpi_summary' query in the workbook." type="5" refreshedVersion="8" background="1" saveData="1">
    <dbPr connection="Provider=Microsoft.Mashup.OleDb.1;Data Source=$Workbook$;Location=exception_kpi_summary;Extended Properties=&quot;&quot;" command="SELECT * FROM [exception_kpi_summary]"/>
  </connection>
  <connection id="6" xr16:uid="{9C3D1EAA-8796-422C-BABF-2A44A776945A}" keepAlive="1" name="Query - exception_lifecycle_summary" description="Connection to the 'exception_lifecycle_summary' query in the workbook." type="5" refreshedVersion="8" background="1" saveData="1">
    <dbPr connection="Provider=Microsoft.Mashup.OleDb.1;Data Source=$Workbook$;Location=exception_lifecycle_summary;Extended Properties=&quot;&quot;" command="SELECT * FROM [exception_lifecycle_summary]"/>
  </connection>
  <connection id="7" xr16:uid="{F52F056D-EC43-4D18-A152-2D1534855D1F}" keepAlive="1" name="Query - exception_rule_summary" description="Connection to the 'exception_rule_summary' query in the workbook." type="5" refreshedVersion="8" background="1" saveData="1">
    <dbPr connection="Provider=Microsoft.Mashup.OleDb.1;Data Source=$Workbook$;Location=exception_rule_summary;Extended Properties=&quot;&quot;" command="SELECT * FROM [exception_rule_summary]"/>
  </connection>
</connections>
</file>

<file path=xl/sharedStrings.xml><?xml version="1.0" encoding="utf-8"?>
<sst xmlns="http://schemas.openxmlformats.org/spreadsheetml/2006/main" count="263" uniqueCount="159">
  <si>
    <t>check_code</t>
  </si>
  <si>
    <t>check_name</t>
  </si>
  <si>
    <t>quality_dimension</t>
  </si>
  <si>
    <t>target_table</t>
  </si>
  <si>
    <t>result_status</t>
  </si>
  <si>
    <t>checked_row_count</t>
  </si>
  <si>
    <t>failure_count</t>
  </si>
  <si>
    <t>failure_rate_percent</t>
  </si>
  <si>
    <t>DQ018</t>
  </si>
  <si>
    <t>Future Transaction Timestamp</t>
  </si>
  <si>
    <t>TIMELINESS</t>
  </si>
  <si>
    <t>core.transactions</t>
  </si>
  <si>
    <t>PASS</t>
  </si>
  <si>
    <t>DQ008</t>
  </si>
  <si>
    <t>Valid Transaction Type</t>
  </si>
  <si>
    <t>VALIDITY</t>
  </si>
  <si>
    <t>DQ011</t>
  </si>
  <si>
    <t>Valid Settlement Status</t>
  </si>
  <si>
    <t>core.settlement_records</t>
  </si>
  <si>
    <t>DQ019</t>
  </si>
  <si>
    <t>Future Ledger Timestamp</t>
  </si>
  <si>
    <t>core.ledger_entries</t>
  </si>
  <si>
    <t>DQ015</t>
  </si>
  <si>
    <t>Transaction Without Account</t>
  </si>
  <si>
    <t>INTEGRITY</t>
  </si>
  <si>
    <t>DQ016</t>
  </si>
  <si>
    <t>Ledger Account Not Found</t>
  </si>
  <si>
    <t>FAIL</t>
  </si>
  <si>
    <t>DQ020</t>
  </si>
  <si>
    <t>Future Settlement Timestamp</t>
  </si>
  <si>
    <t>DQ013</t>
  </si>
  <si>
    <t>Duplicate Settlement Reference</t>
  </si>
  <si>
    <t>UNIQUENESS</t>
  </si>
  <si>
    <t>DQ009</t>
  </si>
  <si>
    <t>Valid Transaction Status</t>
  </si>
  <si>
    <t>DQ017</t>
  </si>
  <si>
    <t>Settlement Account Not Found</t>
  </si>
  <si>
    <t>DQ014</t>
  </si>
  <si>
    <t>Account Without Customer</t>
  </si>
  <si>
    <t>core.accounts</t>
  </si>
  <si>
    <t>DQ007</t>
  </si>
  <si>
    <t>Valid Currency</t>
  </si>
  <si>
    <t>DQ003</t>
  </si>
  <si>
    <t>Transaction Required Fields</t>
  </si>
  <si>
    <t>COMPLETENESS</t>
  </si>
  <si>
    <t>DQ001</t>
  </si>
  <si>
    <t>Customer Required Fields</t>
  </si>
  <si>
    <t>core.customers</t>
  </si>
  <si>
    <t>DQ004</t>
  </si>
  <si>
    <t>Ledger Required Fields</t>
  </si>
  <si>
    <t>DQ005</t>
  </si>
  <si>
    <t>Settlement Required Fields</t>
  </si>
  <si>
    <t>DQ002</t>
  </si>
  <si>
    <t>Account Required Fields</t>
  </si>
  <si>
    <t>DQ010</t>
  </si>
  <si>
    <t>Valid Ledger Status</t>
  </si>
  <si>
    <t>DQ012</t>
  </si>
  <si>
    <t>Duplicate Ledger Reference</t>
  </si>
  <si>
    <t>DQ006</t>
  </si>
  <si>
    <t>Valid Account Type</t>
  </si>
  <si>
    <t>run_id</t>
  </si>
  <si>
    <t>started_at</t>
  </si>
  <si>
    <t>completed_at</t>
  </si>
  <si>
    <t>run_status</t>
  </si>
  <si>
    <t>passed_checks</t>
  </si>
  <si>
    <t>failed_checks</t>
  </si>
  <si>
    <t>error_checks</t>
  </si>
  <si>
    <t>total_failures</t>
  </si>
  <si>
    <t>COMPLETED</t>
  </si>
  <si>
    <t>aging_bucket</t>
  </si>
  <si>
    <t>sort_order</t>
  </si>
  <si>
    <t>exception_count</t>
  </si>
  <si>
    <t>7+ Days</t>
  </si>
  <si>
    <t>category</t>
  </si>
  <si>
    <t>TYPE</t>
  </si>
  <si>
    <t>PRESENCE</t>
  </si>
  <si>
    <t>ACCOUNT</t>
  </si>
  <si>
    <t>AMOUNT</t>
  </si>
  <si>
    <t>STATUS</t>
  </si>
  <si>
    <t>SEQUENCE</t>
  </si>
  <si>
    <t>DUPLICATE</t>
  </si>
  <si>
    <t>TIMING</t>
  </si>
  <si>
    <t>total_exceptions</t>
  </si>
  <si>
    <t>open_exceptions</t>
  </si>
  <si>
    <t>in_progress_exceptions</t>
  </si>
  <si>
    <t>resolved_exceptions</t>
  </si>
  <si>
    <t>critical_exceptions</t>
  </si>
  <si>
    <t>high_exceptions</t>
  </si>
  <si>
    <t>medium_exceptions</t>
  </si>
  <si>
    <t>new_status</t>
  </si>
  <si>
    <t>transition_count</t>
  </si>
  <si>
    <t>IN_PROGRESS</t>
  </si>
  <si>
    <t>RESOLVED</t>
  </si>
  <si>
    <t>OPEN</t>
  </si>
  <si>
    <t>rule_code</t>
  </si>
  <si>
    <t>rule_name</t>
  </si>
  <si>
    <t>severity</t>
  </si>
  <si>
    <t>REC016</t>
  </si>
  <si>
    <t>TRANSACTION_TYPE_MISMATCH</t>
  </si>
  <si>
    <t>HIGH</t>
  </si>
  <si>
    <t>REC012</t>
  </si>
  <si>
    <t>SETTLEMENT_AFTER_FAILED_LEDGER</t>
  </si>
  <si>
    <t>CRITICAL</t>
  </si>
  <si>
    <t>REC019</t>
  </si>
  <si>
    <t>DUPLICATE_SETTLEMENT</t>
  </si>
  <si>
    <t>REC001</t>
  </si>
  <si>
    <t>MISSING_TRANSACTION</t>
  </si>
  <si>
    <t>REC024</t>
  </si>
  <si>
    <t>SETTLEMENT_BEFORE_LEDGER</t>
  </si>
  <si>
    <t>REC022</t>
  </si>
  <si>
    <t>LEDGER_BEFORE_TRANSACTION</t>
  </si>
  <si>
    <t>REC007</t>
  </si>
  <si>
    <t>LEDGER_STATUS_MISMATCH</t>
  </si>
  <si>
    <t>REC015</t>
  </si>
  <si>
    <t>LEDGER_SETTLEMENT_ACCOUNT_MISMATCH</t>
  </si>
  <si>
    <t>REC023</t>
  </si>
  <si>
    <t>SETTLEMENT_BEFORE_TRANSACTION</t>
  </si>
  <si>
    <t>REC003</t>
  </si>
  <si>
    <t>MISSING_SETTLEMENT</t>
  </si>
  <si>
    <t>REC020</t>
  </si>
  <si>
    <t>LATE_LEDGER_POSTING</t>
  </si>
  <si>
    <t>MEDIUM</t>
  </si>
  <si>
    <t>REC008</t>
  </si>
  <si>
    <t>SETTLEMENT_STATUS_MISMATCH</t>
  </si>
  <si>
    <t>REC005</t>
  </si>
  <si>
    <t>SETTLEMENT_AMOUNT_MISMATCH</t>
  </si>
  <si>
    <t>REC002</t>
  </si>
  <si>
    <t>MISSING_LEDGER</t>
  </si>
  <si>
    <t>REC021</t>
  </si>
  <si>
    <t>LATE_SETTLEMENT</t>
  </si>
  <si>
    <t>REC018</t>
  </si>
  <si>
    <t>DUPLICATE_LEDGER_ENTRY</t>
  </si>
  <si>
    <t>REC006</t>
  </si>
  <si>
    <t>LEDGER_SETTLEMENT_AMOUNT_MISMATCH</t>
  </si>
  <si>
    <t>REC013</t>
  </si>
  <si>
    <t>TRANSACTION_LEDGER_ACCOUNT_MISMATCH</t>
  </si>
  <si>
    <t>REC009</t>
  </si>
  <si>
    <t>UNEXPECTED_LEDGER_POSTING</t>
  </si>
  <si>
    <t>REC011</t>
  </si>
  <si>
    <t>SETTLEMENT_WITHOUT_LEDGER</t>
  </si>
  <si>
    <t>REC017</t>
  </si>
  <si>
    <t>DUPLICATE_TRANSACTION</t>
  </si>
  <si>
    <t>REC014</t>
  </si>
  <si>
    <t>TRANSACTION_SETTLEMENT_ACCOUNT_MISMATCH</t>
  </si>
  <si>
    <t>REC004</t>
  </si>
  <si>
    <t>LEDGER_AMOUNT_MISMATCH</t>
  </si>
  <si>
    <t>REC010</t>
  </si>
  <si>
    <t>UNEXPECTED_SETTLEMENT</t>
  </si>
  <si>
    <t>Banking Reconciliation Operational Dashboard</t>
  </si>
  <si>
    <t>Total Exceptions</t>
  </si>
  <si>
    <t>Open Exceptions</t>
  </si>
  <si>
    <t>In Progress</t>
  </si>
  <si>
    <t>Critical Exceptions</t>
  </si>
  <si>
    <t>High Exceptions</t>
  </si>
  <si>
    <t>7+ Day Exceptions</t>
  </si>
  <si>
    <t xml:space="preserve">   </t>
  </si>
  <si>
    <t>Row Labels</t>
  </si>
  <si>
    <t>Grand Total</t>
  </si>
  <si>
    <t>Count of check_code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</si>
</sst>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rial Unicode MS"/>
    </font>
    <font>
      <b/>
      <sz val="12"/>
      <color theme="1"/>
      <name val="Arial Unicode MS"/>
    </font>
    <font>
      <b/>
      <sz val="12"/>
      <color theme="1"/>
      <name val="Aptos Narrow"/>
      <family val="2"/>
      <scheme val="minor"/>
    </font>
    <font>
      <b/>
      <sz val="22"/>
      <color theme="1"/>
      <name val="Arial Unicode MS"/>
    </font>
    <font>
      <b/>
      <sz val="2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22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Exceptions</a:t>
            </a:r>
            <a:r>
              <a:rPr lang="en-IN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Exception_Categories!$B$1</c:f>
              <c:strCache>
                <c:ptCount val="1"/>
                <c:pt idx="0">
                  <c:v>exception_count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Exception_Categories!$A$2:$A$9</c:f>
              <c:strCache>
                <c:ptCount val="8"/>
                <c:pt idx="0">
                  <c:v>TYPE</c:v>
                </c:pt>
                <c:pt idx="1">
                  <c:v>TIMING</c:v>
                </c:pt>
                <c:pt idx="2">
                  <c:v>DUPLICATE</c:v>
                </c:pt>
                <c:pt idx="3">
                  <c:v>ACCOUNT</c:v>
                </c:pt>
                <c:pt idx="4">
                  <c:v>AMOUNT</c:v>
                </c:pt>
                <c:pt idx="5">
                  <c:v>STATUS</c:v>
                </c:pt>
                <c:pt idx="6">
                  <c:v>SEQUENCE</c:v>
                </c:pt>
                <c:pt idx="7">
                  <c:v>PRESENCE</c:v>
                </c:pt>
              </c:strCache>
            </c:strRef>
          </c:cat>
          <c:val>
            <c:numRef>
              <c:f>Exception_Categories!$B$2:$B$9</c:f>
              <c:numCache>
                <c:formatCode>General</c:formatCode>
                <c:ptCount val="8"/>
                <c:pt idx="0">
                  <c:v>17</c:v>
                </c:pt>
                <c:pt idx="1">
                  <c:v>34</c:v>
                </c:pt>
                <c:pt idx="2">
                  <c:v>45</c:v>
                </c:pt>
                <c:pt idx="3">
                  <c:v>51</c:v>
                </c:pt>
                <c:pt idx="4">
                  <c:v>70</c:v>
                </c:pt>
                <c:pt idx="5">
                  <c:v>76</c:v>
                </c:pt>
                <c:pt idx="6">
                  <c:v>111</c:v>
                </c:pt>
                <c:pt idx="7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3-4CCF-AA93-9FF2C0A6F9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26568719"/>
        <c:axId val="726569679"/>
      </c:barChart>
      <c:catAx>
        <c:axId val="72656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69679"/>
        <c:crosses val="autoZero"/>
        <c:auto val="1"/>
        <c:lblAlgn val="ctr"/>
        <c:lblOffset val="100"/>
        <c:noMultiLvlLbl val="0"/>
      </c:catAx>
      <c:valAx>
        <c:axId val="72656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6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Reconciliation Rules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Exception_Rules!$E$1</c:f>
              <c:strCache>
                <c:ptCount val="1"/>
                <c:pt idx="0">
                  <c:v>exception_count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Exception_Rules!$B$2:$B$11</c:f>
              <c:strCache>
                <c:ptCount val="10"/>
                <c:pt idx="0">
                  <c:v>MISSING_SETTLEMENT</c:v>
                </c:pt>
                <c:pt idx="1">
                  <c:v>MISSING_LEDGER</c:v>
                </c:pt>
                <c:pt idx="2">
                  <c:v>LEDGER_SETTLEMENT_AMOUNT_MISMATCH</c:v>
                </c:pt>
                <c:pt idx="3">
                  <c:v>SETTLEMENT_BEFORE_LEDGER</c:v>
                </c:pt>
                <c:pt idx="4">
                  <c:v>SETTLEMENT_WITHOUT_LEDGER</c:v>
                </c:pt>
                <c:pt idx="5">
                  <c:v>MISSING_TRANSACTION</c:v>
                </c:pt>
                <c:pt idx="6">
                  <c:v>LEDGER_STATUS_MISMATCH</c:v>
                </c:pt>
                <c:pt idx="7">
                  <c:v>UNEXPECTED_LEDGER_POSTING</c:v>
                </c:pt>
                <c:pt idx="8">
                  <c:v>SETTLEMENT_STATUS_MISMATCH</c:v>
                </c:pt>
                <c:pt idx="9">
                  <c:v>LEDGER_AMOUNT_MISMATCH</c:v>
                </c:pt>
              </c:strCache>
            </c:strRef>
          </c:cat>
          <c:val>
            <c:numRef>
              <c:f>Exception_Rules!$E$2:$E$11</c:f>
              <c:numCache>
                <c:formatCode>General</c:formatCode>
                <c:ptCount val="10"/>
                <c:pt idx="0">
                  <c:v>72</c:v>
                </c:pt>
                <c:pt idx="1">
                  <c:v>71</c:v>
                </c:pt>
                <c:pt idx="2">
                  <c:v>35</c:v>
                </c:pt>
                <c:pt idx="3">
                  <c:v>34</c:v>
                </c:pt>
                <c:pt idx="4">
                  <c:v>27</c:v>
                </c:pt>
                <c:pt idx="5">
                  <c:v>26</c:v>
                </c:pt>
                <c:pt idx="6">
                  <c:v>20</c:v>
                </c:pt>
                <c:pt idx="7">
                  <c:v>20</c:v>
                </c:pt>
                <c:pt idx="8">
                  <c:v>19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A-47FD-ABAE-43C075F2D4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26581679"/>
        <c:axId val="726583119"/>
      </c:barChart>
      <c:catAx>
        <c:axId val="7265816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83119"/>
        <c:crosses val="autoZero"/>
        <c:auto val="1"/>
        <c:lblAlgn val="ctr"/>
        <c:lblOffset val="100"/>
        <c:noMultiLvlLbl val="0"/>
      </c:catAx>
      <c:valAx>
        <c:axId val="7265831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8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[Banking_Reconciliation_Operational_Report_RECOVERED.xlsx]DQ_Pivot!PivotTable1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Data Quality Health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DQ_Pivot!$B$3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CD-4A52-A75B-BBB598E45A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CD-4A52-A75B-BBB598E45A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DQ_Pivot!$A$4:$A$6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DQ_Pivot!$B$4:$B$6</c:f>
              <c:numCache>
                <c:formatCode>General</c:formatCode>
                <c:ptCount val="2"/>
                <c:pt idx="0">
                  <c:v>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CD-4A52-A75B-BBB598E4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Data Quality Failures by Run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DQ_Trend!$H$1</c:f>
              <c:strCache>
                <c:ptCount val="1"/>
                <c:pt idx="0">
                  <c:v>total_failures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DQ_Trend!$A$2:$A$5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</c:numCache>
            </c:numRef>
          </c:cat>
          <c:val>
            <c:numRef>
              <c:f>DQ_Trend!$H$2:$H$5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1FC-BD65-DCAB529B99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3476944"/>
        <c:axId val="368797808"/>
      </c:lineChart>
      <c:catAx>
        <c:axId val="149347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97808"/>
        <c:crosses val="autoZero"/>
        <c:auto val="1"/>
        <c:lblAlgn val="ctr"/>
        <c:lblOffset val="100"/>
        <c:noMultiLvlLbl val="0"/>
      </c:catAx>
      <c:valAx>
        <c:axId val="3687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47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594360</xdr:colOff>
      <xdr:row>25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0BA4C5-BE8F-484C-853C-11AAFFB55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11</xdr:col>
      <xdr:colOff>22860</xdr:colOff>
      <xdr:row>25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8E618C-F1C9-44F1-9A2C-F09F01A70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0</xdr:colOff>
      <xdr:row>39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5058F-B853-4498-93D1-8438C13D8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11</xdr:col>
      <xdr:colOff>15240</xdr:colOff>
      <xdr:row>39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8AF097-8AAA-46EA-AB2E-EFBFB69BB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LAKSHMI T J" refreshedDate="46309.064748379627" createdVersion="8" refreshedVersion="8" minRefreshableVersion="3" recordCount="20" xr:uid="{26541108-687E-4F1D-B543-AA121D12BFA0}">
  <cacheSource type="worksheet">
    <worksheetSource name="dq_current_summary"/>
  </cacheSource>
  <cacheFields count="8">
    <cacheField name="check_code" numFmtId="0">
      <sharedItems/>
    </cacheField>
    <cacheField name="check_name" numFmtId="0">
      <sharedItems/>
    </cacheField>
    <cacheField name="quality_dimension" numFmtId="0">
      <sharedItems/>
    </cacheField>
    <cacheField name="target_table" numFmtId="0">
      <sharedItems/>
    </cacheField>
    <cacheField name="result_status" numFmtId="0">
      <sharedItems count="2">
        <s v="PASS"/>
        <s v="FAIL"/>
      </sharedItems>
    </cacheField>
    <cacheField name="checked_row_count" numFmtId="0">
      <sharedItems containsSemiMixedTypes="0" containsString="0" containsNumber="1" containsInteger="1" minValue="166" maxValue="1206"/>
    </cacheField>
    <cacheField name="failure_count" numFmtId="0">
      <sharedItems containsSemiMixedTypes="0" containsString="0" containsNumber="1" containsInteger="1" minValue="0" maxValue="17"/>
    </cacheField>
    <cacheField name="failure_rate_percent" numFmtId="0">
      <sharedItems containsSemiMixedTypes="0" containsString="0" containsNumber="1" minValue="0" maxValue="1.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DQ018"/>
    <s v="Future Transaction Timestamp"/>
    <s v="TIMELINESS"/>
    <s v="core.transactions"/>
    <x v="0"/>
    <n v="1206"/>
    <n v="0"/>
    <n v="0"/>
  </r>
  <r>
    <s v="DQ008"/>
    <s v="Valid Transaction Type"/>
    <s v="VALIDITY"/>
    <s v="core.transactions"/>
    <x v="0"/>
    <n v="1206"/>
    <n v="0"/>
    <n v="0"/>
  </r>
  <r>
    <s v="DQ011"/>
    <s v="Valid Settlement Status"/>
    <s v="VALIDITY"/>
    <s v="core.settlement_records"/>
    <x v="0"/>
    <n v="1155"/>
    <n v="0"/>
    <n v="0"/>
  </r>
  <r>
    <s v="DQ019"/>
    <s v="Future Ledger Timestamp"/>
    <s v="TIMELINESS"/>
    <s v="core.ledger_entries"/>
    <x v="0"/>
    <n v="1156"/>
    <n v="0"/>
    <n v="0"/>
  </r>
  <r>
    <s v="DQ015"/>
    <s v="Transaction Without Account"/>
    <s v="INTEGRITY"/>
    <s v="core.transactions"/>
    <x v="0"/>
    <n v="1206"/>
    <n v="0"/>
    <n v="0"/>
  </r>
  <r>
    <s v="DQ016"/>
    <s v="Ledger Account Not Found"/>
    <s v="INTEGRITY"/>
    <s v="core.ledger_entries"/>
    <x v="1"/>
    <n v="1156"/>
    <n v="16"/>
    <n v="1.38"/>
  </r>
  <r>
    <s v="DQ020"/>
    <s v="Future Settlement Timestamp"/>
    <s v="TIMELINESS"/>
    <s v="core.settlement_records"/>
    <x v="0"/>
    <n v="1155"/>
    <n v="0"/>
    <n v="0"/>
  </r>
  <r>
    <s v="DQ013"/>
    <s v="Duplicate Settlement Reference"/>
    <s v="UNIQUENESS"/>
    <s v="core.settlement_records"/>
    <x v="1"/>
    <n v="1155"/>
    <n v="17"/>
    <n v="1.47"/>
  </r>
  <r>
    <s v="DQ009"/>
    <s v="Valid Transaction Status"/>
    <s v="VALIDITY"/>
    <s v="core.transactions"/>
    <x v="0"/>
    <n v="1206"/>
    <n v="0"/>
    <n v="0"/>
  </r>
  <r>
    <s v="DQ017"/>
    <s v="Settlement Account Not Found"/>
    <s v="INTEGRITY"/>
    <s v="core.settlement_records"/>
    <x v="1"/>
    <n v="1155"/>
    <n v="16"/>
    <n v="1.39"/>
  </r>
  <r>
    <s v="DQ014"/>
    <s v="Account Without Customer"/>
    <s v="INTEGRITY"/>
    <s v="core.accounts"/>
    <x v="0"/>
    <n v="220"/>
    <n v="0"/>
    <n v="0"/>
  </r>
  <r>
    <s v="DQ007"/>
    <s v="Valid Currency"/>
    <s v="VALIDITY"/>
    <s v="core.accounts"/>
    <x v="0"/>
    <n v="220"/>
    <n v="0"/>
    <n v="0"/>
  </r>
  <r>
    <s v="DQ003"/>
    <s v="Transaction Required Fields"/>
    <s v="COMPLETENESS"/>
    <s v="core.transactions"/>
    <x v="0"/>
    <n v="1206"/>
    <n v="0"/>
    <n v="0"/>
  </r>
  <r>
    <s v="DQ001"/>
    <s v="Customer Required Fields"/>
    <s v="COMPLETENESS"/>
    <s v="core.customers"/>
    <x v="0"/>
    <n v="166"/>
    <n v="0"/>
    <n v="0"/>
  </r>
  <r>
    <s v="DQ004"/>
    <s v="Ledger Required Fields"/>
    <s v="COMPLETENESS"/>
    <s v="core.ledger_entries"/>
    <x v="0"/>
    <n v="1156"/>
    <n v="0"/>
    <n v="0"/>
  </r>
  <r>
    <s v="DQ005"/>
    <s v="Settlement Required Fields"/>
    <s v="COMPLETENESS"/>
    <s v="core.settlement_records"/>
    <x v="0"/>
    <n v="1155"/>
    <n v="0"/>
    <n v="0"/>
  </r>
  <r>
    <s v="DQ002"/>
    <s v="Account Required Fields"/>
    <s v="COMPLETENESS"/>
    <s v="core.accounts"/>
    <x v="0"/>
    <n v="220"/>
    <n v="0"/>
    <n v="0"/>
  </r>
  <r>
    <s v="DQ010"/>
    <s v="Valid Ledger Status"/>
    <s v="VALIDITY"/>
    <s v="core.ledger_entries"/>
    <x v="0"/>
    <n v="1156"/>
    <n v="0"/>
    <n v="0"/>
  </r>
  <r>
    <s v="DQ012"/>
    <s v="Duplicate Ledger Reference"/>
    <s v="UNIQUENESS"/>
    <s v="core.ledger_entries"/>
    <x v="1"/>
    <n v="1156"/>
    <n v="17"/>
    <n v="1.47"/>
  </r>
  <r>
    <s v="DQ006"/>
    <s v="Valid Account Type"/>
    <s v="VALIDITY"/>
    <s v="core.accounts"/>
    <x v="0"/>
    <n v="22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A7F1A-2550-4123-A45B-3388BAAB80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8"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check_code" fld="0" subtotal="count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BEA6CD-B0A4-4116-8554-43184A8BA829}" autoFormatId="16" applyNumberFormats="0" applyBorderFormats="0" applyFontFormats="0" applyPatternFormats="0" applyAlignmentFormats="0" applyWidthHeightFormats="0">
  <queryTableRefresh nextId="9">
    <queryTableFields count="8">
      <queryTableField id="1" name="check_code" tableColumnId="9"/>
      <queryTableField id="2" name="check_name" tableColumnId="2"/>
      <queryTableField id="3" name="quality_dimension" tableColumnId="3"/>
      <queryTableField id="4" name="target_table" tableColumnId="4"/>
      <queryTableField id="5" name="result_status" tableColumnId="5"/>
      <queryTableField id="6" name="checked_row_count" tableColumnId="6"/>
      <queryTableField id="7" name="failure_count" tableColumnId="7"/>
      <queryTableField id="8" name="failure_rate_perce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6BF03E0-1DFB-4D6E-AC8A-53559F1C016C}" autoFormatId="16" applyNumberFormats="0" applyBorderFormats="0" applyFontFormats="0" applyPatternFormats="0" applyAlignmentFormats="0" applyWidthHeightFormats="0">
  <queryTableRefresh nextId="9">
    <queryTableFields count="8">
      <queryTableField id="1" name="run_id" tableColumnId="9"/>
      <queryTableField id="2" name="started_at" tableColumnId="2"/>
      <queryTableField id="3" name="completed_at" tableColumnId="3"/>
      <queryTableField id="4" name="run_status" tableColumnId="4"/>
      <queryTableField id="5" name="passed_checks" tableColumnId="5"/>
      <queryTableField id="6" name="failed_checks" tableColumnId="6"/>
      <queryTableField id="7" name="error_checks" tableColumnId="7"/>
      <queryTableField id="8" name="total_failure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96DE59F-F9FA-4528-9E2F-D2941655A545}" autoFormatId="16" applyNumberFormats="0" applyBorderFormats="0" applyFontFormats="0" applyPatternFormats="0" applyAlignmentFormats="0" applyWidthHeightFormats="0">
  <queryTableRefresh nextId="4">
    <queryTableFields count="3">
      <queryTableField id="1" name="aging_bucket" tableColumnId="4"/>
      <queryTableField id="2" name="sort_order" tableColumnId="2"/>
      <queryTableField id="3" name="exception_c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8865AD6-5721-4E4A-B1B0-3C852121D08C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3"/>
      <queryTableField id="2" name="exception_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93724C0-61F7-43C8-A19D-DE40F1DDC551}" autoFormatId="16" applyNumberFormats="0" applyBorderFormats="0" applyFontFormats="0" applyPatternFormats="0" applyAlignmentFormats="0" applyWidthHeightFormats="0">
  <queryTableRefresh nextId="8">
    <queryTableFields count="7">
      <queryTableField id="1" name="total_exceptions" tableColumnId="8"/>
      <queryTableField id="2" name="open_exceptions" tableColumnId="2"/>
      <queryTableField id="3" name="in_progress_exceptions" tableColumnId="3"/>
      <queryTableField id="4" name="resolved_exceptions" tableColumnId="4"/>
      <queryTableField id="5" name="critical_exceptions" tableColumnId="5"/>
      <queryTableField id="6" name="high_exceptions" tableColumnId="6"/>
      <queryTableField id="7" name="medium_exceptions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0923627-C7C1-4AB7-92CA-7A409ECE0E8C}" autoFormatId="16" applyNumberFormats="0" applyBorderFormats="0" applyFontFormats="0" applyPatternFormats="0" applyAlignmentFormats="0" applyWidthHeightFormats="0">
  <queryTableRefresh nextId="4">
    <queryTableFields count="3">
      <queryTableField id="1" name="old_status" tableColumnId="4"/>
      <queryTableField id="2" name="new_status" tableColumnId="2"/>
      <queryTableField id="3" name="transition_cou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3D9ADCE-EAEA-4B72-9588-F252F9AEB8BA}" autoFormatId="16" applyNumberFormats="0" applyBorderFormats="0" applyFontFormats="0" applyPatternFormats="0" applyAlignmentFormats="0" applyWidthHeightFormats="0">
  <queryTableRefresh nextId="6">
    <queryTableFields count="5">
      <queryTableField id="1" name="rule_code" tableColumnId="6"/>
      <queryTableField id="2" name="rule_name" tableColumnId="2"/>
      <queryTableField id="3" name="category" tableColumnId="3"/>
      <queryTableField id="4" name="severity" tableColumnId="4"/>
      <queryTableField id="5" name="exception_c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4B185-0727-4495-AB49-6A11916AD991}" name="dq_current_summary" displayName="dq_current_summary" ref="A1:H21" tableType="queryTable" totalsRowShown="0">
  <autoFilter ref="A1:H21" xr:uid="{6834B185-0727-4495-AB49-6A11916AD991}"/>
  <tableColumns count="8">
    <tableColumn id="9" xr3:uid="{FB176A0F-55C1-4E56-B52B-536726DC6464}" uniqueName="9" name="check_code" queryTableFieldId="1" dataDxfId="35"/>
    <tableColumn id="2" xr3:uid="{E5E502A8-FBDC-47BA-A4AA-FED3E833D886}" uniqueName="2" name="check_name" queryTableFieldId="2" dataDxfId="34"/>
    <tableColumn id="3" xr3:uid="{86EBB60D-A821-4A41-8BB9-7C8DAD24C73A}" uniqueName="3" name="quality_dimension" queryTableFieldId="3" dataDxfId="33"/>
    <tableColumn id="4" xr3:uid="{53B11D3B-7037-43A2-831C-9E9AC86F0CBF}" uniqueName="4" name="target_table" queryTableFieldId="4" dataDxfId="32"/>
    <tableColumn id="5" xr3:uid="{2D228D67-F048-4105-966F-5937811028C9}" uniqueName="5" name="result_status" queryTableFieldId="5" dataDxfId="31"/>
    <tableColumn id="6" xr3:uid="{F974847A-7086-49D4-8ED9-45E2189801C9}" uniqueName="6" name="checked_row_count" queryTableFieldId="6" dataDxfId="30"/>
    <tableColumn id="7" xr3:uid="{DBC1C722-DBBA-49D5-B6CC-3D35B070DD82}" uniqueName="7" name="failure_count" queryTableFieldId="7" dataDxfId="29"/>
    <tableColumn id="8" xr3:uid="{685EAE8A-9A1C-41AC-B961-199EABD1ACF0}" uniqueName="8" name="failure_rate_percent" queryTableFieldId="8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4AEA3-0F8D-4316-814C-D94CAA55BA83}" name="dq_run_trend" displayName="dq_run_trend" ref="A1:H5" tableType="queryTable" totalsRowShown="0">
  <autoFilter ref="A1:H5" xr:uid="{5B74AEA3-0F8D-4316-814C-D94CAA55BA83}"/>
  <tableColumns count="8">
    <tableColumn id="9" xr3:uid="{2D4BC144-FC49-403D-85A7-7F07F5266517}" uniqueName="9" name="run_id" queryTableFieldId="1" dataDxfId="27"/>
    <tableColumn id="2" xr3:uid="{F919ECE4-353A-488F-B037-8641EBA7C889}" uniqueName="2" name="started_at" queryTableFieldId="2" dataDxfId="26"/>
    <tableColumn id="3" xr3:uid="{35F2ABC4-3E5B-4EAE-A77F-1C462C752F78}" uniqueName="3" name="completed_at" queryTableFieldId="3" dataDxfId="25"/>
    <tableColumn id="4" xr3:uid="{02F1750C-8A10-4325-B412-0255DD02B1A2}" uniqueName="4" name="run_status" queryTableFieldId="4" dataDxfId="24"/>
    <tableColumn id="5" xr3:uid="{6F5BD6EA-933D-4F1E-8235-CEBC5B4D650B}" uniqueName="5" name="passed_checks" queryTableFieldId="5" dataDxfId="23"/>
    <tableColumn id="6" xr3:uid="{A1BF850C-6F23-43C6-80B8-87497C92AB9C}" uniqueName="6" name="failed_checks" queryTableFieldId="6" dataDxfId="22"/>
    <tableColumn id="7" xr3:uid="{44CB1CDF-209A-46CF-ABF2-40613F2278C0}" uniqueName="7" name="error_checks" queryTableFieldId="7" dataDxfId="21"/>
    <tableColumn id="8" xr3:uid="{3A3E6284-7B62-42E5-9C58-886E24C5C04D}" uniqueName="8" name="total_failures" queryTableFieldId="8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C5CD7A-9E91-4A13-B1E4-4460513D6E6B}" name="exception_aging_summary" displayName="exception_aging_summary" ref="A1:C2" tableType="queryTable" totalsRowShown="0">
  <autoFilter ref="A1:C2" xr:uid="{5FC5CD7A-9E91-4A13-B1E4-4460513D6E6B}"/>
  <tableColumns count="3">
    <tableColumn id="4" xr3:uid="{4F4D4F4B-9CC6-4179-83EA-DCB14AE97711}" uniqueName="4" name="aging_bucket" queryTableFieldId="1" dataDxfId="19"/>
    <tableColumn id="2" xr3:uid="{6596BDEB-881E-4834-A27D-4F4BF614F254}" uniqueName="2" name="sort_order" queryTableFieldId="2" dataDxfId="18"/>
    <tableColumn id="3" xr3:uid="{14CEEBD8-44A1-4120-A068-DACA084CCD40}" uniqueName="3" name="exception_count" queryTableFieldId="3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B99DD1-9412-45BF-B989-0EFEE08635BA}" name="exception_category_summary" displayName="exception_category_summary" ref="A1:B9" tableType="queryTable" totalsRowShown="0">
  <autoFilter ref="A1:B9" xr:uid="{38B99DD1-9412-45BF-B989-0EFEE08635BA}"/>
  <sortState xmlns:xlrd2="http://schemas.microsoft.com/office/spreadsheetml/2017/richdata2" ref="A2:B9">
    <sortCondition ref="B1:B9"/>
  </sortState>
  <tableColumns count="2">
    <tableColumn id="3" xr3:uid="{574C7AED-E274-4F97-A99D-F539591EA014}" uniqueName="3" name="category" queryTableFieldId="1" dataDxfId="16"/>
    <tableColumn id="2" xr3:uid="{C6F948B3-7DEE-4F50-9B7F-B19362F62E1B}" uniqueName="2" name="exception_count" queryTableFieldId="2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42D356-CADD-4183-A86D-E658E6E1D8C7}" name="exception_kpi_summary" displayName="exception_kpi_summary" ref="A1:G2" tableType="queryTable" totalsRowShown="0">
  <autoFilter ref="A1:G2" xr:uid="{CE42D356-CADD-4183-A86D-E658E6E1D8C7}"/>
  <tableColumns count="7">
    <tableColumn id="8" xr3:uid="{D426B85F-682F-4DCF-BB27-2CEC83699D24}" uniqueName="8" name="total_exceptions" queryTableFieldId="1" dataDxfId="14"/>
    <tableColumn id="2" xr3:uid="{841660FC-6164-425B-81E2-3CE2856A58CB}" uniqueName="2" name="open_exceptions" queryTableFieldId="2" dataDxfId="13"/>
    <tableColumn id="3" xr3:uid="{EBD59488-3D20-4C9C-BFBD-42C8018A8432}" uniqueName="3" name="in_progress_exceptions" queryTableFieldId="3" dataDxfId="12"/>
    <tableColumn id="4" xr3:uid="{99D80211-5CBD-4430-8A51-0B4DAA7CC3C1}" uniqueName="4" name="resolved_exceptions" queryTableFieldId="4" dataDxfId="11"/>
    <tableColumn id="5" xr3:uid="{0060EB17-82DF-41A1-910A-D6B9971DBC2B}" uniqueName="5" name="critical_exceptions" queryTableFieldId="5" dataDxfId="10"/>
    <tableColumn id="6" xr3:uid="{BF922CDE-0268-4C7E-A967-D66D44EE0233}" uniqueName="6" name="high_exceptions" queryTableFieldId="6" dataDxfId="9"/>
    <tableColumn id="7" xr3:uid="{4AE7764E-92D0-4CDE-80AD-E5BAD27A9E0F}" uniqueName="7" name="medium_exceptions" queryTableFieldId="7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418442-4972-48EA-B0A7-E9F56FB595BF}" name="exception_lifecycle_summary" displayName="exception_lifecycle_summary" ref="A1:C4" tableType="queryTable" totalsRowShown="0">
  <autoFilter ref="A1:C4" xr:uid="{3A418442-4972-48EA-B0A7-E9F56FB595BF}"/>
  <tableColumns count="3">
    <tableColumn id="4" xr3:uid="{6F1AD215-5148-4543-B455-40386A9E5002}" uniqueName="4" name="   " queryTableFieldId="1" dataDxfId="7"/>
    <tableColumn id="2" xr3:uid="{BB50890E-7BD6-4A46-8A45-3126E2F42D4C}" uniqueName="2" name="new_status" queryTableFieldId="2" dataDxfId="6"/>
    <tableColumn id="3" xr3:uid="{CA004014-68C2-44CB-AFF2-4F9DF589B60D}" uniqueName="3" name="transition_count" queryTableFieldId="3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AD945B-23B0-422C-9CF7-E8C80635F52B}" name="exception_rule_summary" displayName="exception_rule_summary" ref="A1:E25" tableType="queryTable" totalsRowShown="0">
  <autoFilter ref="A1:E25" xr:uid="{C7AD945B-23B0-422C-9CF7-E8C80635F52B}">
    <filterColumn colId="4">
      <top10 val="10" filterVal="18"/>
    </filterColumn>
  </autoFilter>
  <sortState xmlns:xlrd2="http://schemas.microsoft.com/office/spreadsheetml/2017/richdata2" ref="A2:E25">
    <sortCondition descending="1" ref="E1:E25"/>
  </sortState>
  <tableColumns count="5">
    <tableColumn id="6" xr3:uid="{EAEEDA71-EC5D-4158-9072-02E999740F05}" uniqueName="6" name="rule_code" queryTableFieldId="1" dataDxfId="4"/>
    <tableColumn id="2" xr3:uid="{6AD4EDF2-2EE5-4681-9FE5-37299C46690F}" uniqueName="2" name="rule_name" queryTableFieldId="2" dataDxfId="3"/>
    <tableColumn id="3" xr3:uid="{9A90D942-F5D5-4FEE-956F-08986ADF1183}" uniqueName="3" name="category" queryTableFieldId="3" dataDxfId="2"/>
    <tableColumn id="4" xr3:uid="{D7455CA3-4785-4700-8188-F58EE11F2ADC}" uniqueName="4" name="severity" queryTableFieldId="4" dataDxfId="1"/>
    <tableColumn id="5" xr3:uid="{E90EA7CE-7929-4CD3-B977-6213AEF7FE3C}" uniqueName="5" name="exception_coun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A337-7523-4204-ADED-D2FBA67439E7}">
  <dimension ref="A1:K10"/>
  <sheetViews>
    <sheetView tabSelected="1" workbookViewId="0">
      <selection activeCell="P19" sqref="P19"/>
    </sheetView>
  </sheetViews>
  <sheetFormatPr defaultRowHeight="14.4"/>
  <cols>
    <col min="1" max="1" width="8.88671875" customWidth="1"/>
    <col min="9" max="9" width="11.33203125" bestFit="1" customWidth="1"/>
  </cols>
  <sheetData>
    <row r="1" spans="1:11" ht="14.4" customHeight="1">
      <c r="A1" s="14" t="s">
        <v>148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4.4" customHeight="1" thickBot="1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thickBot="1"/>
    <row r="4" spans="1:11" ht="15.6">
      <c r="A4" s="20" t="s">
        <v>149</v>
      </c>
      <c r="B4" s="21"/>
      <c r="C4" s="22"/>
      <c r="D4" s="2"/>
      <c r="E4" s="5" t="s">
        <v>150</v>
      </c>
      <c r="F4" s="6"/>
      <c r="G4" s="7"/>
      <c r="I4" s="5" t="s">
        <v>151</v>
      </c>
      <c r="J4" s="6"/>
      <c r="K4" s="7"/>
    </row>
    <row r="5" spans="1:11" ht="21" customHeight="1">
      <c r="A5" s="23">
        <f>Dashboard_Data!A2</f>
        <v>573</v>
      </c>
      <c r="B5" s="24"/>
      <c r="C5" s="25"/>
      <c r="E5" s="29">
        <f>Dashboard_Data!B2</f>
        <v>571</v>
      </c>
      <c r="F5" s="30"/>
      <c r="G5" s="31"/>
      <c r="I5" s="29">
        <f>Dashboard_Data!C2</f>
        <v>2</v>
      </c>
      <c r="J5" s="30"/>
      <c r="K5" s="31"/>
    </row>
    <row r="6" spans="1:11" ht="15" thickBot="1">
      <c r="A6" s="26"/>
      <c r="B6" s="27"/>
      <c r="C6" s="28"/>
      <c r="E6" s="32"/>
      <c r="F6" s="33"/>
      <c r="G6" s="34"/>
      <c r="I6" s="32"/>
      <c r="J6" s="33"/>
      <c r="K6" s="34"/>
    </row>
    <row r="7" spans="1:11" ht="15" thickBot="1"/>
    <row r="8" spans="1:11" ht="15.6">
      <c r="A8" s="5" t="s">
        <v>152</v>
      </c>
      <c r="B8" s="6"/>
      <c r="C8" s="7"/>
      <c r="E8" s="5" t="s">
        <v>153</v>
      </c>
      <c r="F8" s="6"/>
      <c r="G8" s="7"/>
      <c r="I8" s="5" t="s">
        <v>154</v>
      </c>
      <c r="J8" s="6"/>
      <c r="K8" s="7"/>
    </row>
    <row r="9" spans="1:11" ht="21" customHeight="1">
      <c r="A9" s="35">
        <f>Dashboard_Data!E2</f>
        <v>148</v>
      </c>
      <c r="B9" s="36"/>
      <c r="C9" s="37"/>
      <c r="E9" s="41">
        <f>Dashboard_Data!F2</f>
        <v>408</v>
      </c>
      <c r="F9" s="42"/>
      <c r="G9" s="43"/>
      <c r="I9" s="8">
        <f>_xlfn.XLOOKUP("7+ Days", Exception_Aging!A:A, Exception_Aging!C:C)</f>
        <v>573</v>
      </c>
      <c r="J9" s="9"/>
      <c r="K9" s="10"/>
    </row>
    <row r="10" spans="1:11" ht="15" thickBot="1">
      <c r="A10" s="38"/>
      <c r="B10" s="39"/>
      <c r="C10" s="40"/>
      <c r="E10" s="44"/>
      <c r="F10" s="45"/>
      <c r="G10" s="46"/>
      <c r="I10" s="11"/>
      <c r="J10" s="12"/>
      <c r="K10" s="13"/>
    </row>
  </sheetData>
  <mergeCells count="13">
    <mergeCell ref="A8:C8"/>
    <mergeCell ref="E8:G8"/>
    <mergeCell ref="I8:K8"/>
    <mergeCell ref="I9:K10"/>
    <mergeCell ref="A1:K2"/>
    <mergeCell ref="A4:C4"/>
    <mergeCell ref="A5:C6"/>
    <mergeCell ref="E5:G6"/>
    <mergeCell ref="E4:G4"/>
    <mergeCell ref="I4:K4"/>
    <mergeCell ref="I5:K6"/>
    <mergeCell ref="A9:C10"/>
    <mergeCell ref="E9:G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E349-5D6E-42E5-87BE-5C17B7F96802}">
  <dimension ref="A3:B6"/>
  <sheetViews>
    <sheetView workbookViewId="0">
      <selection activeCell="A3" sqref="A3"/>
    </sheetView>
  </sheetViews>
  <sheetFormatPr defaultRowHeight="14.4"/>
  <cols>
    <col min="1" max="1" width="12.44140625" bestFit="1" customWidth="1"/>
    <col min="2" max="2" width="18.21875" bestFit="1" customWidth="1"/>
  </cols>
  <sheetData>
    <row r="3" spans="1:2">
      <c r="A3" s="3" t="s">
        <v>156</v>
      </c>
      <c r="B3" t="s">
        <v>158</v>
      </c>
    </row>
    <row r="4" spans="1:2">
      <c r="A4" s="4" t="s">
        <v>27</v>
      </c>
      <c r="B4">
        <v>4</v>
      </c>
    </row>
    <row r="5" spans="1:2">
      <c r="A5" s="4" t="s">
        <v>12</v>
      </c>
      <c r="B5">
        <v>16</v>
      </c>
    </row>
    <row r="6" spans="1:2">
      <c r="A6" s="4" t="s">
        <v>157</v>
      </c>
      <c r="B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7BD7-BAED-427A-A15E-147ADA9025BD}">
  <dimension ref="A1:H21"/>
  <sheetViews>
    <sheetView workbookViewId="0">
      <selection activeCell="A2" sqref="A2:H2"/>
    </sheetView>
  </sheetViews>
  <sheetFormatPr defaultRowHeight="14.4"/>
  <cols>
    <col min="1" max="1" width="13.109375" bestFit="1" customWidth="1"/>
    <col min="2" max="2" width="26.77734375" bestFit="1" customWidth="1"/>
    <col min="3" max="3" width="18.6640625" bestFit="1" customWidth="1"/>
    <col min="4" max="4" width="21" bestFit="1" customWidth="1"/>
    <col min="5" max="5" width="13.88671875" bestFit="1" customWidth="1"/>
    <col min="6" max="6" width="19.77734375" bestFit="1" customWidth="1"/>
    <col min="7" max="7" width="14" bestFit="1" customWidth="1"/>
    <col min="8" max="8" width="20.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1206</v>
      </c>
      <c r="G2">
        <v>0</v>
      </c>
      <c r="H2">
        <v>0</v>
      </c>
    </row>
    <row r="3" spans="1:8">
      <c r="A3" t="s">
        <v>13</v>
      </c>
      <c r="B3" t="s">
        <v>14</v>
      </c>
      <c r="C3" t="s">
        <v>15</v>
      </c>
      <c r="D3" t="s">
        <v>11</v>
      </c>
      <c r="E3" t="s">
        <v>12</v>
      </c>
      <c r="F3">
        <v>1206</v>
      </c>
      <c r="G3">
        <v>0</v>
      </c>
      <c r="H3">
        <v>0</v>
      </c>
    </row>
    <row r="4" spans="1:8">
      <c r="A4" t="s">
        <v>16</v>
      </c>
      <c r="B4" t="s">
        <v>17</v>
      </c>
      <c r="C4" t="s">
        <v>15</v>
      </c>
      <c r="D4" t="s">
        <v>18</v>
      </c>
      <c r="E4" t="s">
        <v>12</v>
      </c>
      <c r="F4">
        <v>1155</v>
      </c>
      <c r="G4">
        <v>0</v>
      </c>
      <c r="H4">
        <v>0</v>
      </c>
    </row>
    <row r="5" spans="1:8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1156</v>
      </c>
      <c r="G5">
        <v>0</v>
      </c>
      <c r="H5">
        <v>0</v>
      </c>
    </row>
    <row r="6" spans="1:8">
      <c r="A6" t="s">
        <v>22</v>
      </c>
      <c r="B6" t="s">
        <v>23</v>
      </c>
      <c r="C6" t="s">
        <v>24</v>
      </c>
      <c r="D6" t="s">
        <v>11</v>
      </c>
      <c r="E6" t="s">
        <v>12</v>
      </c>
      <c r="F6">
        <v>1206</v>
      </c>
      <c r="G6">
        <v>0</v>
      </c>
      <c r="H6">
        <v>0</v>
      </c>
    </row>
    <row r="7" spans="1:8">
      <c r="A7" t="s">
        <v>25</v>
      </c>
      <c r="B7" t="s">
        <v>26</v>
      </c>
      <c r="C7" t="s">
        <v>24</v>
      </c>
      <c r="D7" t="s">
        <v>21</v>
      </c>
      <c r="E7" t="s">
        <v>27</v>
      </c>
      <c r="F7">
        <v>1156</v>
      </c>
      <c r="G7">
        <v>16</v>
      </c>
      <c r="H7">
        <v>1.38</v>
      </c>
    </row>
    <row r="8" spans="1:8">
      <c r="A8" t="s">
        <v>28</v>
      </c>
      <c r="B8" t="s">
        <v>29</v>
      </c>
      <c r="C8" t="s">
        <v>10</v>
      </c>
      <c r="D8" t="s">
        <v>18</v>
      </c>
      <c r="E8" t="s">
        <v>12</v>
      </c>
      <c r="F8">
        <v>1155</v>
      </c>
      <c r="G8">
        <v>0</v>
      </c>
      <c r="H8">
        <v>0</v>
      </c>
    </row>
    <row r="9" spans="1:8">
      <c r="A9" t="s">
        <v>30</v>
      </c>
      <c r="B9" t="s">
        <v>31</v>
      </c>
      <c r="C9" t="s">
        <v>32</v>
      </c>
      <c r="D9" t="s">
        <v>18</v>
      </c>
      <c r="E9" t="s">
        <v>27</v>
      </c>
      <c r="F9">
        <v>1155</v>
      </c>
      <c r="G9">
        <v>17</v>
      </c>
      <c r="H9">
        <v>1.47</v>
      </c>
    </row>
    <row r="10" spans="1:8">
      <c r="A10" t="s">
        <v>33</v>
      </c>
      <c r="B10" t="s">
        <v>34</v>
      </c>
      <c r="C10" t="s">
        <v>15</v>
      </c>
      <c r="D10" t="s">
        <v>11</v>
      </c>
      <c r="E10" t="s">
        <v>12</v>
      </c>
      <c r="F10">
        <v>1206</v>
      </c>
      <c r="G10">
        <v>0</v>
      </c>
      <c r="H10">
        <v>0</v>
      </c>
    </row>
    <row r="11" spans="1:8">
      <c r="A11" t="s">
        <v>35</v>
      </c>
      <c r="B11" t="s">
        <v>36</v>
      </c>
      <c r="C11" t="s">
        <v>24</v>
      </c>
      <c r="D11" t="s">
        <v>18</v>
      </c>
      <c r="E11" t="s">
        <v>27</v>
      </c>
      <c r="F11">
        <v>1155</v>
      </c>
      <c r="G11">
        <v>16</v>
      </c>
      <c r="H11">
        <v>1.39</v>
      </c>
    </row>
    <row r="12" spans="1:8">
      <c r="A12" t="s">
        <v>37</v>
      </c>
      <c r="B12" t="s">
        <v>38</v>
      </c>
      <c r="C12" t="s">
        <v>24</v>
      </c>
      <c r="D12" t="s">
        <v>39</v>
      </c>
      <c r="E12" t="s">
        <v>12</v>
      </c>
      <c r="F12">
        <v>220</v>
      </c>
      <c r="G12">
        <v>0</v>
      </c>
      <c r="H12">
        <v>0</v>
      </c>
    </row>
    <row r="13" spans="1:8">
      <c r="A13" t="s">
        <v>40</v>
      </c>
      <c r="B13" t="s">
        <v>41</v>
      </c>
      <c r="C13" t="s">
        <v>15</v>
      </c>
      <c r="D13" t="s">
        <v>39</v>
      </c>
      <c r="E13" t="s">
        <v>12</v>
      </c>
      <c r="F13">
        <v>220</v>
      </c>
      <c r="G13">
        <v>0</v>
      </c>
      <c r="H13">
        <v>0</v>
      </c>
    </row>
    <row r="14" spans="1:8">
      <c r="A14" t="s">
        <v>42</v>
      </c>
      <c r="B14" t="s">
        <v>43</v>
      </c>
      <c r="C14" t="s">
        <v>44</v>
      </c>
      <c r="D14" t="s">
        <v>11</v>
      </c>
      <c r="E14" t="s">
        <v>12</v>
      </c>
      <c r="F14">
        <v>1206</v>
      </c>
      <c r="G14">
        <v>0</v>
      </c>
      <c r="H14">
        <v>0</v>
      </c>
    </row>
    <row r="15" spans="1:8">
      <c r="A15" t="s">
        <v>45</v>
      </c>
      <c r="B15" t="s">
        <v>46</v>
      </c>
      <c r="C15" t="s">
        <v>44</v>
      </c>
      <c r="D15" t="s">
        <v>47</v>
      </c>
      <c r="E15" t="s">
        <v>12</v>
      </c>
      <c r="F15">
        <v>166</v>
      </c>
      <c r="G15">
        <v>0</v>
      </c>
      <c r="H15">
        <v>0</v>
      </c>
    </row>
    <row r="16" spans="1:8">
      <c r="A16" t="s">
        <v>48</v>
      </c>
      <c r="B16" t="s">
        <v>49</v>
      </c>
      <c r="C16" t="s">
        <v>44</v>
      </c>
      <c r="D16" t="s">
        <v>21</v>
      </c>
      <c r="E16" t="s">
        <v>12</v>
      </c>
      <c r="F16">
        <v>1156</v>
      </c>
      <c r="G16">
        <v>0</v>
      </c>
      <c r="H16">
        <v>0</v>
      </c>
    </row>
    <row r="17" spans="1:8">
      <c r="A17" t="s">
        <v>50</v>
      </c>
      <c r="B17" t="s">
        <v>51</v>
      </c>
      <c r="C17" t="s">
        <v>44</v>
      </c>
      <c r="D17" t="s">
        <v>18</v>
      </c>
      <c r="E17" t="s">
        <v>12</v>
      </c>
      <c r="F17">
        <v>1155</v>
      </c>
      <c r="G17">
        <v>0</v>
      </c>
      <c r="H17">
        <v>0</v>
      </c>
    </row>
    <row r="18" spans="1:8">
      <c r="A18" t="s">
        <v>52</v>
      </c>
      <c r="B18" t="s">
        <v>53</v>
      </c>
      <c r="C18" t="s">
        <v>44</v>
      </c>
      <c r="D18" t="s">
        <v>39</v>
      </c>
      <c r="E18" t="s">
        <v>12</v>
      </c>
      <c r="F18">
        <v>220</v>
      </c>
      <c r="G18">
        <v>0</v>
      </c>
      <c r="H18">
        <v>0</v>
      </c>
    </row>
    <row r="19" spans="1:8">
      <c r="A19" t="s">
        <v>54</v>
      </c>
      <c r="B19" t="s">
        <v>55</v>
      </c>
      <c r="C19" t="s">
        <v>15</v>
      </c>
      <c r="D19" t="s">
        <v>21</v>
      </c>
      <c r="E19" t="s">
        <v>12</v>
      </c>
      <c r="F19">
        <v>1156</v>
      </c>
      <c r="G19">
        <v>0</v>
      </c>
      <c r="H19">
        <v>0</v>
      </c>
    </row>
    <row r="20" spans="1:8">
      <c r="A20" t="s">
        <v>56</v>
      </c>
      <c r="B20" t="s">
        <v>57</v>
      </c>
      <c r="C20" t="s">
        <v>32</v>
      </c>
      <c r="D20" t="s">
        <v>21</v>
      </c>
      <c r="E20" t="s">
        <v>27</v>
      </c>
      <c r="F20">
        <v>1156</v>
      </c>
      <c r="G20">
        <v>17</v>
      </c>
      <c r="H20">
        <v>1.47</v>
      </c>
    </row>
    <row r="21" spans="1:8">
      <c r="A21" t="s">
        <v>58</v>
      </c>
      <c r="B21" t="s">
        <v>59</v>
      </c>
      <c r="C21" t="s">
        <v>15</v>
      </c>
      <c r="D21" t="s">
        <v>39</v>
      </c>
      <c r="E21" t="s">
        <v>12</v>
      </c>
      <c r="F21">
        <v>220</v>
      </c>
      <c r="G21">
        <v>0</v>
      </c>
      <c r="H2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F99A-9835-457E-812E-3474B7063174}">
  <dimension ref="A1:H5"/>
  <sheetViews>
    <sheetView workbookViewId="0">
      <selection activeCell="H1" activeCellId="1" sqref="A1:A5 H1:H5"/>
    </sheetView>
  </sheetViews>
  <sheetFormatPr defaultRowHeight="14.4"/>
  <cols>
    <col min="1" max="1" width="8.33203125" bestFit="1" customWidth="1"/>
    <col min="2" max="3" width="15.33203125" bestFit="1" customWidth="1"/>
    <col min="4" max="4" width="11.77734375" bestFit="1" customWidth="1"/>
    <col min="5" max="5" width="16" bestFit="1" customWidth="1"/>
    <col min="6" max="6" width="14.6640625" bestFit="1" customWidth="1"/>
    <col min="7" max="7" width="13.88671875" bestFit="1" customWidth="1"/>
    <col min="8" max="8" width="14.109375" bestFit="1" customWidth="1"/>
  </cols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>
        <v>1</v>
      </c>
      <c r="B2" s="1">
        <v>46292.647641041665</v>
      </c>
      <c r="C2" s="1">
        <v>46292.647641041665</v>
      </c>
      <c r="D2" t="s">
        <v>68</v>
      </c>
      <c r="E2">
        <v>16</v>
      </c>
      <c r="F2">
        <v>4</v>
      </c>
      <c r="G2">
        <v>0</v>
      </c>
      <c r="H2">
        <v>6</v>
      </c>
    </row>
    <row r="3" spans="1:8">
      <c r="A3">
        <v>2</v>
      </c>
      <c r="B3" s="1">
        <v>46292.650945185182</v>
      </c>
      <c r="C3" s="1">
        <v>46292.650945185182</v>
      </c>
      <c r="D3" t="s">
        <v>68</v>
      </c>
      <c r="E3">
        <v>15</v>
      </c>
      <c r="F3">
        <v>5</v>
      </c>
      <c r="G3">
        <v>0</v>
      </c>
      <c r="H3">
        <v>7</v>
      </c>
    </row>
    <row r="4" spans="1:8">
      <c r="A4">
        <v>3</v>
      </c>
      <c r="B4" s="1">
        <v>46292.652170960646</v>
      </c>
      <c r="C4" s="1">
        <v>46292.652170960646</v>
      </c>
      <c r="D4" t="s">
        <v>68</v>
      </c>
      <c r="E4">
        <v>16</v>
      </c>
      <c r="F4">
        <v>4</v>
      </c>
      <c r="G4">
        <v>0</v>
      </c>
      <c r="H4">
        <v>6</v>
      </c>
    </row>
    <row r="5" spans="1:8">
      <c r="A5">
        <v>8</v>
      </c>
      <c r="B5" s="1">
        <v>46297.608982928243</v>
      </c>
      <c r="C5" s="1">
        <v>46297.608982928243</v>
      </c>
      <c r="D5" t="s">
        <v>68</v>
      </c>
      <c r="E5">
        <v>16</v>
      </c>
      <c r="F5">
        <v>4</v>
      </c>
      <c r="G5">
        <v>0</v>
      </c>
      <c r="H5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2AC6-451B-46E3-A6BD-7DE034B69153}">
  <dimension ref="A1:C2"/>
  <sheetViews>
    <sheetView workbookViewId="0">
      <selection activeCell="D4" sqref="D4"/>
    </sheetView>
  </sheetViews>
  <sheetFormatPr defaultRowHeight="14.4"/>
  <cols>
    <col min="1" max="1" width="14.109375" bestFit="1" customWidth="1"/>
    <col min="2" max="2" width="11.6640625" bestFit="1" customWidth="1"/>
    <col min="3" max="3" width="17" bestFit="1" customWidth="1"/>
  </cols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>
        <v>4</v>
      </c>
      <c r="C2">
        <v>573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458B-BD8A-4A66-83C2-9DBB6222545B}">
  <dimension ref="A1:B9"/>
  <sheetViews>
    <sheetView workbookViewId="0">
      <selection activeCell="G18" sqref="G18"/>
    </sheetView>
  </sheetViews>
  <sheetFormatPr defaultRowHeight="14.4"/>
  <cols>
    <col min="1" max="1" width="10.33203125" bestFit="1" customWidth="1"/>
    <col min="2" max="2" width="17" bestFit="1" customWidth="1"/>
  </cols>
  <sheetData>
    <row r="1" spans="1:2">
      <c r="A1" t="s">
        <v>73</v>
      </c>
      <c r="B1" t="s">
        <v>71</v>
      </c>
    </row>
    <row r="2" spans="1:2">
      <c r="A2" t="s">
        <v>74</v>
      </c>
      <c r="B2">
        <v>17</v>
      </c>
    </row>
    <row r="3" spans="1:2">
      <c r="A3" t="s">
        <v>81</v>
      </c>
      <c r="B3">
        <v>34</v>
      </c>
    </row>
    <row r="4" spans="1:2">
      <c r="A4" t="s">
        <v>80</v>
      </c>
      <c r="B4">
        <v>45</v>
      </c>
    </row>
    <row r="5" spans="1:2">
      <c r="A5" t="s">
        <v>76</v>
      </c>
      <c r="B5">
        <v>51</v>
      </c>
    </row>
    <row r="6" spans="1:2">
      <c r="A6" t="s">
        <v>77</v>
      </c>
      <c r="B6">
        <v>70</v>
      </c>
    </row>
    <row r="7" spans="1:2">
      <c r="A7" t="s">
        <v>78</v>
      </c>
      <c r="B7">
        <v>76</v>
      </c>
    </row>
    <row r="8" spans="1:2">
      <c r="A8" t="s">
        <v>79</v>
      </c>
      <c r="B8">
        <v>111</v>
      </c>
    </row>
    <row r="9" spans="1:2">
      <c r="A9" t="s">
        <v>75</v>
      </c>
      <c r="B9">
        <v>169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4B8F-EE95-42E7-9276-D291BE81ABE5}">
  <dimension ref="A1:G2"/>
  <sheetViews>
    <sheetView workbookViewId="0">
      <selection activeCell="F41" sqref="F41"/>
    </sheetView>
  </sheetViews>
  <sheetFormatPr defaultRowHeight="14.4"/>
  <cols>
    <col min="1" max="1" width="17.109375" bestFit="1" customWidth="1"/>
    <col min="2" max="2" width="17.33203125" bestFit="1" customWidth="1"/>
    <col min="3" max="3" width="22.77734375" bestFit="1" customWidth="1"/>
    <col min="4" max="4" width="20.44140625" bestFit="1" customWidth="1"/>
    <col min="5" max="5" width="19.21875" bestFit="1" customWidth="1"/>
    <col min="6" max="6" width="16.6640625" bestFit="1" customWidth="1"/>
    <col min="7" max="7" width="20.33203125" bestFit="1" customWidth="1"/>
  </cols>
  <sheetData>
    <row r="1" spans="1:7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spans="1:7">
      <c r="A2">
        <v>573</v>
      </c>
      <c r="B2">
        <v>571</v>
      </c>
      <c r="C2">
        <v>2</v>
      </c>
      <c r="D2">
        <v>0</v>
      </c>
      <c r="E2">
        <v>148</v>
      </c>
      <c r="F2">
        <v>408</v>
      </c>
      <c r="G2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E5D3-810C-4641-A0CD-B21099439793}">
  <dimension ref="A1:C4"/>
  <sheetViews>
    <sheetView workbookViewId="0">
      <selection sqref="A1:C1"/>
    </sheetView>
  </sheetViews>
  <sheetFormatPr defaultRowHeight="14.4"/>
  <cols>
    <col min="1" max="2" width="12.5546875" bestFit="1" customWidth="1"/>
    <col min="3" max="3" width="16.77734375" bestFit="1" customWidth="1"/>
  </cols>
  <sheetData>
    <row r="1" spans="1:3">
      <c r="A1" t="s">
        <v>155</v>
      </c>
      <c r="B1" t="s">
        <v>89</v>
      </c>
      <c r="C1" t="s">
        <v>90</v>
      </c>
    </row>
    <row r="2" spans="1:3">
      <c r="A2" t="s">
        <v>91</v>
      </c>
      <c r="B2" t="s">
        <v>92</v>
      </c>
      <c r="C2">
        <v>1</v>
      </c>
    </row>
    <row r="3" spans="1:3">
      <c r="A3" t="s">
        <v>92</v>
      </c>
      <c r="B3" t="s">
        <v>93</v>
      </c>
      <c r="C3">
        <v>1</v>
      </c>
    </row>
    <row r="4" spans="1:3">
      <c r="A4" t="s">
        <v>93</v>
      </c>
      <c r="B4" t="s">
        <v>91</v>
      </c>
      <c r="C4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BBA9-3023-48DA-A2FE-974A9FF693F6}">
  <dimension ref="A1:E25"/>
  <sheetViews>
    <sheetView workbookViewId="0">
      <selection activeCell="J10" sqref="J10"/>
    </sheetView>
  </sheetViews>
  <sheetFormatPr defaultRowHeight="14.4"/>
  <cols>
    <col min="1" max="1" width="11.33203125" bestFit="1" customWidth="1"/>
    <col min="2" max="2" width="43.5546875" bestFit="1" customWidth="1"/>
    <col min="3" max="3" width="10.33203125" bestFit="1" customWidth="1"/>
    <col min="4" max="4" width="9.77734375" bestFit="1" customWidth="1"/>
    <col min="5" max="5" width="17" bestFit="1" customWidth="1"/>
  </cols>
  <sheetData>
    <row r="1" spans="1:5">
      <c r="A1" t="s">
        <v>94</v>
      </c>
      <c r="B1" t="s">
        <v>95</v>
      </c>
      <c r="C1" t="s">
        <v>73</v>
      </c>
      <c r="D1" t="s">
        <v>96</v>
      </c>
      <c r="E1" t="s">
        <v>71</v>
      </c>
    </row>
    <row r="2" spans="1:5">
      <c r="A2" t="s">
        <v>117</v>
      </c>
      <c r="B2" t="s">
        <v>118</v>
      </c>
      <c r="C2" t="s">
        <v>75</v>
      </c>
      <c r="D2" t="s">
        <v>99</v>
      </c>
      <c r="E2">
        <v>72</v>
      </c>
    </row>
    <row r="3" spans="1:5">
      <c r="A3" t="s">
        <v>126</v>
      </c>
      <c r="B3" t="s">
        <v>127</v>
      </c>
      <c r="C3" t="s">
        <v>75</v>
      </c>
      <c r="D3" t="s">
        <v>99</v>
      </c>
      <c r="E3">
        <v>71</v>
      </c>
    </row>
    <row r="4" spans="1:5">
      <c r="A4" t="s">
        <v>132</v>
      </c>
      <c r="B4" t="s">
        <v>133</v>
      </c>
      <c r="C4" t="s">
        <v>77</v>
      </c>
      <c r="D4" t="s">
        <v>99</v>
      </c>
      <c r="E4">
        <v>35</v>
      </c>
    </row>
    <row r="5" spans="1:5">
      <c r="A5" t="s">
        <v>107</v>
      </c>
      <c r="B5" t="s">
        <v>108</v>
      </c>
      <c r="C5" t="s">
        <v>79</v>
      </c>
      <c r="D5" t="s">
        <v>99</v>
      </c>
      <c r="E5">
        <v>34</v>
      </c>
    </row>
    <row r="6" spans="1:5">
      <c r="A6" t="s">
        <v>138</v>
      </c>
      <c r="B6" t="s">
        <v>139</v>
      </c>
      <c r="C6" t="s">
        <v>79</v>
      </c>
      <c r="D6" t="s">
        <v>102</v>
      </c>
      <c r="E6">
        <v>27</v>
      </c>
    </row>
    <row r="7" spans="1:5">
      <c r="A7" t="s">
        <v>105</v>
      </c>
      <c r="B7" t="s">
        <v>106</v>
      </c>
      <c r="C7" t="s">
        <v>75</v>
      </c>
      <c r="D7" t="s">
        <v>99</v>
      </c>
      <c r="E7">
        <v>26</v>
      </c>
    </row>
    <row r="8" spans="1:5">
      <c r="A8" t="s">
        <v>111</v>
      </c>
      <c r="B8" t="s">
        <v>112</v>
      </c>
      <c r="C8" t="s">
        <v>78</v>
      </c>
      <c r="D8" t="s">
        <v>99</v>
      </c>
      <c r="E8">
        <v>20</v>
      </c>
    </row>
    <row r="9" spans="1:5">
      <c r="A9" t="s">
        <v>136</v>
      </c>
      <c r="B9" t="s">
        <v>137</v>
      </c>
      <c r="C9" t="s">
        <v>78</v>
      </c>
      <c r="D9" t="s">
        <v>102</v>
      </c>
      <c r="E9">
        <v>20</v>
      </c>
    </row>
    <row r="10" spans="1:5">
      <c r="A10" t="s">
        <v>122</v>
      </c>
      <c r="B10" t="s">
        <v>123</v>
      </c>
      <c r="C10" t="s">
        <v>78</v>
      </c>
      <c r="D10" t="s">
        <v>99</v>
      </c>
      <c r="E10">
        <v>19</v>
      </c>
    </row>
    <row r="11" spans="1:5">
      <c r="A11" t="s">
        <v>144</v>
      </c>
      <c r="B11" t="s">
        <v>145</v>
      </c>
      <c r="C11" t="s">
        <v>77</v>
      </c>
      <c r="D11" t="s">
        <v>99</v>
      </c>
      <c r="E11">
        <v>18</v>
      </c>
    </row>
    <row r="12" spans="1:5" hidden="1">
      <c r="A12" t="s">
        <v>97</v>
      </c>
      <c r="B12" t="s">
        <v>98</v>
      </c>
      <c r="C12" t="s">
        <v>74</v>
      </c>
      <c r="D12" t="s">
        <v>99</v>
      </c>
      <c r="E12">
        <v>17</v>
      </c>
    </row>
    <row r="13" spans="1:5" hidden="1">
      <c r="A13" t="s">
        <v>103</v>
      </c>
      <c r="B13" t="s">
        <v>104</v>
      </c>
      <c r="C13" t="s">
        <v>80</v>
      </c>
      <c r="D13" t="s">
        <v>99</v>
      </c>
      <c r="E13">
        <v>17</v>
      </c>
    </row>
    <row r="14" spans="1:5" hidden="1">
      <c r="A14" t="s">
        <v>109</v>
      </c>
      <c r="B14" t="s">
        <v>110</v>
      </c>
      <c r="C14" t="s">
        <v>79</v>
      </c>
      <c r="D14" t="s">
        <v>99</v>
      </c>
      <c r="E14">
        <v>17</v>
      </c>
    </row>
    <row r="15" spans="1:5" hidden="1">
      <c r="A15" t="s">
        <v>113</v>
      </c>
      <c r="B15" t="s">
        <v>114</v>
      </c>
      <c r="C15" t="s">
        <v>76</v>
      </c>
      <c r="D15" t="s">
        <v>102</v>
      </c>
      <c r="E15">
        <v>17</v>
      </c>
    </row>
    <row r="16" spans="1:5" hidden="1">
      <c r="A16" t="s">
        <v>115</v>
      </c>
      <c r="B16" t="s">
        <v>116</v>
      </c>
      <c r="C16" t="s">
        <v>79</v>
      </c>
      <c r="D16" t="s">
        <v>102</v>
      </c>
      <c r="E16">
        <v>17</v>
      </c>
    </row>
    <row r="17" spans="1:5" hidden="1">
      <c r="A17" t="s">
        <v>119</v>
      </c>
      <c r="B17" t="s">
        <v>120</v>
      </c>
      <c r="C17" t="s">
        <v>81</v>
      </c>
      <c r="D17" t="s">
        <v>121</v>
      </c>
      <c r="E17">
        <v>17</v>
      </c>
    </row>
    <row r="18" spans="1:5" hidden="1">
      <c r="A18" t="s">
        <v>124</v>
      </c>
      <c r="B18" t="s">
        <v>125</v>
      </c>
      <c r="C18" t="s">
        <v>77</v>
      </c>
      <c r="D18" t="s">
        <v>99</v>
      </c>
      <c r="E18">
        <v>17</v>
      </c>
    </row>
    <row r="19" spans="1:5" hidden="1">
      <c r="A19" t="s">
        <v>128</v>
      </c>
      <c r="B19" t="s">
        <v>129</v>
      </c>
      <c r="C19" t="s">
        <v>81</v>
      </c>
      <c r="D19" t="s">
        <v>99</v>
      </c>
      <c r="E19">
        <v>17</v>
      </c>
    </row>
    <row r="20" spans="1:5" hidden="1">
      <c r="A20" t="s">
        <v>130</v>
      </c>
      <c r="B20" t="s">
        <v>131</v>
      </c>
      <c r="C20" t="s">
        <v>80</v>
      </c>
      <c r="D20" t="s">
        <v>99</v>
      </c>
      <c r="E20">
        <v>17</v>
      </c>
    </row>
    <row r="21" spans="1:5" hidden="1">
      <c r="A21" t="s">
        <v>134</v>
      </c>
      <c r="B21" t="s">
        <v>135</v>
      </c>
      <c r="C21" t="s">
        <v>76</v>
      </c>
      <c r="D21" t="s">
        <v>102</v>
      </c>
      <c r="E21">
        <v>17</v>
      </c>
    </row>
    <row r="22" spans="1:5" hidden="1">
      <c r="A22" t="s">
        <v>142</v>
      </c>
      <c r="B22" t="s">
        <v>143</v>
      </c>
      <c r="C22" t="s">
        <v>76</v>
      </c>
      <c r="D22" t="s">
        <v>102</v>
      </c>
      <c r="E22">
        <v>17</v>
      </c>
    </row>
    <row r="23" spans="1:5" hidden="1">
      <c r="A23" t="s">
        <v>146</v>
      </c>
      <c r="B23" t="s">
        <v>147</v>
      </c>
      <c r="C23" t="s">
        <v>78</v>
      </c>
      <c r="D23" t="s">
        <v>102</v>
      </c>
      <c r="E23">
        <v>17</v>
      </c>
    </row>
    <row r="24" spans="1:5" hidden="1">
      <c r="A24" t="s">
        <v>100</v>
      </c>
      <c r="B24" t="s">
        <v>101</v>
      </c>
      <c r="C24" t="s">
        <v>79</v>
      </c>
      <c r="D24" t="s">
        <v>102</v>
      </c>
      <c r="E24">
        <v>16</v>
      </c>
    </row>
    <row r="25" spans="1:5" hidden="1">
      <c r="A25" t="s">
        <v>140</v>
      </c>
      <c r="B25" t="s">
        <v>141</v>
      </c>
      <c r="C25" t="s">
        <v>80</v>
      </c>
      <c r="D25" t="s">
        <v>99</v>
      </c>
      <c r="E25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F3DF24-3002-496E-AA73-02047AAD55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DQ_Pivot</vt:lpstr>
      <vt:lpstr>DQ_Current</vt:lpstr>
      <vt:lpstr>DQ_Trend</vt:lpstr>
      <vt:lpstr>Exception_Aging</vt:lpstr>
      <vt:lpstr>Exception_Categories</vt:lpstr>
      <vt:lpstr>Dashboard_Data</vt:lpstr>
      <vt:lpstr>Lifecycle</vt:lpstr>
      <vt:lpstr>Exception_Rules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T J</dc:creator>
  <cp:lastModifiedBy>SREELAKSHMI T J</cp:lastModifiedBy>
  <dcterms:created xsi:type="dcterms:W3CDTF">2026-10-14T01:54:09Z</dcterms:created>
  <dcterms:modified xsi:type="dcterms:W3CDTF">2026-10-15T00:30:12Z</dcterms:modified>
</cp:coreProperties>
</file>